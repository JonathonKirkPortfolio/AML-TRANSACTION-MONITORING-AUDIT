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72282e2d4e89a/Documents/Financial Crime Analyst Portfolio/"/>
    </mc:Choice>
  </mc:AlternateContent>
  <xr:revisionPtr revIDLastSave="1" documentId="8_{852C2FD0-F3A3-4452-B4F3-5FFA9B02D82D}" xr6:coauthVersionLast="47" xr6:coauthVersionMax="47" xr10:uidLastSave="{DA162B56-B687-4356-9267-08DC6A0B991D}"/>
  <workbookProtection workbookAlgorithmName="SHA-512" workbookHashValue="fduoYpbHlIKYr7iA9+1MKMPuvYF4ST2KRED3v8ZXqwuxQFDY+XunC9jhOsmcf6y2KLlZ2YfTNmvhVaW5dKkIwg==" workbookSaltValue="vQ9rAv2LxHtYdfKj4hscfg==" workbookSpinCount="100000" lockStructure="1"/>
  <bookViews>
    <workbookView xWindow="-108" yWindow="-108" windowWidth="23256" windowHeight="13896" xr2:uid="{FD5E4BD7-4BD7-41E3-8565-33F9945B5568}"/>
  </bookViews>
  <sheets>
    <sheet name="Transaction_Monitoring_Data" sheetId="1" r:id="rId1"/>
    <sheet name="Risk_List" sheetId="2" r:id="rId2"/>
    <sheet name="Pivot_Table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<sst xmlns="http://schemas.openxmlformats.org/spreadsheetml/2006/main" count="71" uniqueCount="30">
  <si>
    <t>Amount (£)</t>
  </si>
  <si>
    <t>Type</t>
  </si>
  <si>
    <t xml:space="preserve">Country </t>
  </si>
  <si>
    <t>Date</t>
  </si>
  <si>
    <t>Debit Card</t>
  </si>
  <si>
    <t>Wire Transfer</t>
  </si>
  <si>
    <t>Cash Deposit</t>
  </si>
  <si>
    <t>Direct Debit</t>
  </si>
  <si>
    <t>Counterparty</t>
  </si>
  <si>
    <t>UK</t>
  </si>
  <si>
    <t>UAE</t>
  </si>
  <si>
    <t>Panama</t>
  </si>
  <si>
    <t>Tesco Extra</t>
  </si>
  <si>
    <t>Local Plumbing Ltd</t>
  </si>
  <si>
    <t>Post Office Branch</t>
  </si>
  <si>
    <t>British Gas</t>
  </si>
  <si>
    <t>Pret A Manger</t>
  </si>
  <si>
    <t>Office Supplies Direct</t>
  </si>
  <si>
    <t>Apex Holdings LLC</t>
  </si>
  <si>
    <t>Global Chemical Corp</t>
  </si>
  <si>
    <t>Shell Petrol Station</t>
  </si>
  <si>
    <t>BT Broadband</t>
  </si>
  <si>
    <t>Smith Agri-Farms</t>
  </si>
  <si>
    <t>TFL Travel</t>
  </si>
  <si>
    <t>Commercial Rent UK</t>
  </si>
  <si>
    <t>High Risk</t>
  </si>
  <si>
    <t>Risk Flag</t>
  </si>
  <si>
    <t>Grand Total</t>
  </si>
  <si>
    <t>Row Labels</t>
  </si>
  <si>
    <t>Sum of Amount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</si>
</sst>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£&quot;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[TRANSACTION-MONITORING-MODEL.xlsx]Pivot_Table!PivotTable1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Pivot_Table!$A$4:$A$17</c:f>
              <c:strCache>
                <c:ptCount val="13"/>
                <c:pt idx="0">
                  <c:v>Apex Holdings LLC</c:v>
                </c:pt>
                <c:pt idx="1">
                  <c:v>British Gas</c:v>
                </c:pt>
                <c:pt idx="2">
                  <c:v>BT Broadband</c:v>
                </c:pt>
                <c:pt idx="3">
                  <c:v>Commercial Rent UK</c:v>
                </c:pt>
                <c:pt idx="4">
                  <c:v>Global Chemical Corp</c:v>
                </c:pt>
                <c:pt idx="5">
                  <c:v>Local Plumbing Ltd</c:v>
                </c:pt>
                <c:pt idx="6">
                  <c:v>Office Supplies Direct</c:v>
                </c:pt>
                <c:pt idx="7">
                  <c:v>Post Office Branch</c:v>
                </c:pt>
                <c:pt idx="8">
                  <c:v>Pret A Manger</c:v>
                </c:pt>
                <c:pt idx="9">
                  <c:v>Shell Petrol Station</c:v>
                </c:pt>
                <c:pt idx="10">
                  <c:v>Smith Agri-Farms</c:v>
                </c:pt>
                <c:pt idx="11">
                  <c:v>Tesco Extra</c:v>
                </c:pt>
                <c:pt idx="12">
                  <c:v>TFL Travel</c:v>
                </c:pt>
              </c:strCache>
            </c:strRef>
          </c:cat>
          <c:val>
            <c:numRef>
              <c:f>Pivot_Table!$B$4:$B$17</c:f>
              <c:numCache>
                <c:formatCode>"£"#,##0.00</c:formatCode>
                <c:ptCount val="13"/>
                <c:pt idx="0">
                  <c:v>125000</c:v>
                </c:pt>
                <c:pt idx="1">
                  <c:v>-150</c:v>
                </c:pt>
                <c:pt idx="2">
                  <c:v>-85</c:v>
                </c:pt>
                <c:pt idx="3">
                  <c:v>-1100</c:v>
                </c:pt>
                <c:pt idx="4">
                  <c:v>-124000</c:v>
                </c:pt>
                <c:pt idx="5">
                  <c:v>1200</c:v>
                </c:pt>
                <c:pt idx="6">
                  <c:v>-400</c:v>
                </c:pt>
                <c:pt idx="7">
                  <c:v>28200</c:v>
                </c:pt>
                <c:pt idx="8">
                  <c:v>-12.5</c:v>
                </c:pt>
                <c:pt idx="9">
                  <c:v>-65</c:v>
                </c:pt>
                <c:pt idx="10">
                  <c:v>3500</c:v>
                </c:pt>
                <c:pt idx="11">
                  <c:v>-45</c:v>
                </c:pt>
                <c:pt idx="12">
                  <c:v>-25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C7E-BAD4-B8E5C1F1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384352"/>
        <c:axId val="1785386272"/>
      </c:barChart>
      <c:catAx>
        <c:axId val="17853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86272"/>
        <c:crosses val="autoZero"/>
        <c:auto val="1"/>
        <c:lblAlgn val="ctr"/>
        <c:lblOffset val="100"/>
        <c:noMultiLvlLbl val="0"/>
      </c:catAx>
      <c:valAx>
        <c:axId val="17853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1</xdr:row>
      <xdr:rowOff>57150</xdr:rowOff>
    </xdr:from>
    <xdr:to>
      <xdr:col>9</xdr:col>
      <xdr:colOff>449580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7049C-DD59-3872-375C-E5FC647DF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 Kirk" refreshedDate="46130.993899768517" createdVersion="8" refreshedVersion="8" minRefreshableVersion="3" recordCount="15" xr:uid="{AB55F474-6FF4-4A42-9A74-50075A740099}">
  <cacheSource type="worksheet">
    <worksheetSource ref="B2:G17" sheet="Transaction_Monitoring_Data"/>
  </cacheSource>
  <cacheFields count="6">
    <cacheField name="Date" numFmtId="164">
      <sharedItems containsSemiMixedTypes="0" containsNonDate="0" containsDate="1" containsString="0" minDate="2026-05-01T00:00:00" maxDate="2026-05-29T00:00:00"/>
    </cacheField>
    <cacheField name="Amount (£)" numFmtId="165">
      <sharedItems containsSemiMixedTypes="0" containsString="0" containsNumber="1" minValue="-124000" maxValue="125000"/>
    </cacheField>
    <cacheField name="Type" numFmtId="0">
      <sharedItems/>
    </cacheField>
    <cacheField name="Counterparty" numFmtId="0">
      <sharedItems count="13">
        <s v="Tesco Extra"/>
        <s v="Local Plumbing Ltd"/>
        <s v="Post Office Branch"/>
        <s v="British Gas"/>
        <s v="Pret A Manger"/>
        <s v="Office Supplies Direct"/>
        <s v="Apex Holdings LLC"/>
        <s v="Global Chemical Corp"/>
        <s v="Shell Petrol Station"/>
        <s v="BT Broadband"/>
        <s v="Smith Agri-Farms"/>
        <s v="TFL Travel"/>
        <s v="Commercial Rent UK"/>
      </sharedItems>
    </cacheField>
    <cacheField name="Country " numFmtId="0">
      <sharedItems/>
    </cacheField>
    <cacheField name="Risk Flag" numFmtId="0">
      <sharedItems count="2">
        <s v="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5-01T00:00:00"/>
    <n v="-45"/>
    <s v="Debit Card"/>
    <x v="0"/>
    <s v="UK"/>
    <x v="0"/>
  </r>
  <r>
    <d v="2026-05-02T00:00:00"/>
    <n v="1200"/>
    <s v="Wire Transfer"/>
    <x v="1"/>
    <s v="UK"/>
    <x v="0"/>
  </r>
  <r>
    <d v="2026-05-04T00:00:00"/>
    <n v="9500"/>
    <s v="Cash Deposit"/>
    <x v="2"/>
    <s v="UK"/>
    <x v="0"/>
  </r>
  <r>
    <d v="2026-05-05T00:00:00"/>
    <n v="-150"/>
    <s v="Direct Debit"/>
    <x v="3"/>
    <s v="UK"/>
    <x v="0"/>
  </r>
  <r>
    <d v="2026-05-05T00:00:00"/>
    <n v="8900"/>
    <s v="Cash Deposit"/>
    <x v="2"/>
    <s v="UK"/>
    <x v="0"/>
  </r>
  <r>
    <d v="2026-05-08T00:00:00"/>
    <n v="-12.5"/>
    <s v="Debit Card"/>
    <x v="4"/>
    <s v="UK"/>
    <x v="0"/>
  </r>
  <r>
    <d v="2026-05-09T00:00:00"/>
    <n v="9800"/>
    <s v="Cash Deposit"/>
    <x v="2"/>
    <s v="UK"/>
    <x v="0"/>
  </r>
  <r>
    <d v="2026-05-11T00:00:00"/>
    <n v="-400"/>
    <s v="Wire Transfer"/>
    <x v="5"/>
    <s v="UK"/>
    <x v="0"/>
  </r>
  <r>
    <d v="2026-05-14T00:00:00"/>
    <n v="125000"/>
    <s v="Wire Transfer"/>
    <x v="6"/>
    <s v="Panama"/>
    <x v="1"/>
  </r>
  <r>
    <d v="2026-05-15T00:00:00"/>
    <n v="-124000"/>
    <s v="Wire Transfer"/>
    <x v="7"/>
    <s v="UAE"/>
    <x v="1"/>
  </r>
  <r>
    <d v="2026-05-18T00:00:00"/>
    <n v="-65"/>
    <s v="Debit Card"/>
    <x v="8"/>
    <s v="UK"/>
    <x v="0"/>
  </r>
  <r>
    <d v="2026-05-20T00:00:00"/>
    <n v="-85"/>
    <s v="Direct Debit"/>
    <x v="9"/>
    <s v="UK"/>
    <x v="0"/>
  </r>
  <r>
    <d v="2026-05-22T00:00:00"/>
    <n v="3500"/>
    <s v="Wire Transfer"/>
    <x v="10"/>
    <s v="UK"/>
    <x v="0"/>
  </r>
  <r>
    <d v="2026-05-25T00:00:00"/>
    <n v="-25"/>
    <s v="Debit Card"/>
    <x v="11"/>
    <s v="UK"/>
    <x v="0"/>
  </r>
  <r>
    <d v="2026-05-28T00:00:00"/>
    <n v="-1100"/>
    <s v="Wire Transfer"/>
    <x v="12"/>
    <s v="UK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C8CC3-38DA-49D3-B288-4E082BA82B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6">
    <pivotField numFmtId="164" showAll="0"/>
    <pivotField dataField="1" numFmtId="165" showAll="0"/>
    <pivotField showAll="0"/>
    <pivotField axis="axisRow" showAll="0">
      <items count="14">
        <item x="6"/>
        <item x="3"/>
        <item x="9"/>
        <item x="12"/>
        <item x="7"/>
        <item x="1"/>
        <item x="5"/>
        <item x="2"/>
        <item x="4"/>
        <item x="8"/>
        <item x="10"/>
        <item x="0"/>
        <item x="11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 (£)" fld="1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EB19-B3D0-4007-BD81-3052717C7B46}">
  <dimension ref="B2:G17"/>
  <sheetViews>
    <sheetView tabSelected="1" workbookViewId="0">
      <selection activeCell="L5" sqref="L5"/>
    </sheetView>
  </sheetViews>
  <sheetFormatPr defaultRowHeight="14.4" x14ac:dyDescent="0.3"/>
  <cols>
    <col min="2" max="2" width="8.88671875" style="1"/>
    <col min="3" max="3" width="11.77734375" style="2" bestFit="1" customWidth="1"/>
    <col min="4" max="4" width="11.77734375" bestFit="1" customWidth="1"/>
    <col min="5" max="5" width="18.6640625" bestFit="1" customWidth="1"/>
  </cols>
  <sheetData>
    <row r="2" spans="2:7" ht="15" thickBot="1" x14ac:dyDescent="0.35">
      <c r="B2" s="5" t="s">
        <v>3</v>
      </c>
      <c r="C2" s="6" t="s">
        <v>0</v>
      </c>
      <c r="D2" s="7" t="s">
        <v>1</v>
      </c>
      <c r="E2" s="7" t="s">
        <v>8</v>
      </c>
      <c r="F2" s="7" t="s">
        <v>2</v>
      </c>
      <c r="G2" s="7" t="s">
        <v>26</v>
      </c>
    </row>
    <row r="3" spans="2:7" x14ac:dyDescent="0.3">
      <c r="B3" s="1">
        <v>46143</v>
      </c>
      <c r="C3" s="2">
        <v>-45</v>
      </c>
      <c r="D3" t="s">
        <v>4</v>
      </c>
      <c r="E3" t="s">
        <v>12</v>
      </c>
      <c r="F3" t="s">
        <v>9</v>
      </c>
      <c r="G3" t="str">
        <f>_xlfn.XLOOKUP(F3, Risk_List!A:A, Risk_List!B:B, "")</f>
        <v/>
      </c>
    </row>
    <row r="4" spans="2:7" x14ac:dyDescent="0.3">
      <c r="B4" s="1">
        <v>46144</v>
      </c>
      <c r="C4" s="2">
        <v>1200</v>
      </c>
      <c r="D4" t="s">
        <v>5</v>
      </c>
      <c r="E4" t="s">
        <v>13</v>
      </c>
      <c r="F4" t="s">
        <v>9</v>
      </c>
      <c r="G4" t="str">
        <f>_xlfn.XLOOKUP(F4, Risk_List!A:A, Risk_List!B:B, "")</f>
        <v/>
      </c>
    </row>
    <row r="5" spans="2:7" x14ac:dyDescent="0.3">
      <c r="B5" s="1">
        <v>46146</v>
      </c>
      <c r="C5" s="2">
        <v>9500</v>
      </c>
      <c r="D5" t="s">
        <v>6</v>
      </c>
      <c r="E5" t="s">
        <v>14</v>
      </c>
      <c r="F5" t="s">
        <v>9</v>
      </c>
      <c r="G5" t="str">
        <f>_xlfn.XLOOKUP(F5, Risk_List!A:A, Risk_List!B:B, "")</f>
        <v/>
      </c>
    </row>
    <row r="6" spans="2:7" x14ac:dyDescent="0.3">
      <c r="B6" s="1">
        <v>46147</v>
      </c>
      <c r="C6" s="2">
        <v>-150</v>
      </c>
      <c r="D6" t="s">
        <v>7</v>
      </c>
      <c r="E6" t="s">
        <v>15</v>
      </c>
      <c r="F6" t="s">
        <v>9</v>
      </c>
      <c r="G6" t="str">
        <f>_xlfn.XLOOKUP(F6, Risk_List!A:A, Risk_List!B:B, "")</f>
        <v/>
      </c>
    </row>
    <row r="7" spans="2:7" x14ac:dyDescent="0.3">
      <c r="B7" s="1">
        <v>46147</v>
      </c>
      <c r="C7" s="2">
        <v>8900</v>
      </c>
      <c r="D7" t="s">
        <v>6</v>
      </c>
      <c r="E7" t="s">
        <v>14</v>
      </c>
      <c r="F7" t="s">
        <v>9</v>
      </c>
      <c r="G7" t="str">
        <f>_xlfn.XLOOKUP(F7, Risk_List!A:A, Risk_List!B:B, "")</f>
        <v/>
      </c>
    </row>
    <row r="8" spans="2:7" x14ac:dyDescent="0.3">
      <c r="B8" s="1">
        <v>46150</v>
      </c>
      <c r="C8" s="2">
        <v>-12.5</v>
      </c>
      <c r="D8" t="s">
        <v>4</v>
      </c>
      <c r="E8" t="s">
        <v>16</v>
      </c>
      <c r="F8" t="s">
        <v>9</v>
      </c>
      <c r="G8" t="str">
        <f>_xlfn.XLOOKUP(F8, Risk_List!A:A, Risk_List!B:B, "")</f>
        <v/>
      </c>
    </row>
    <row r="9" spans="2:7" x14ac:dyDescent="0.3">
      <c r="B9" s="1">
        <v>46151</v>
      </c>
      <c r="C9" s="2">
        <v>9800</v>
      </c>
      <c r="D9" t="s">
        <v>6</v>
      </c>
      <c r="E9" t="s">
        <v>14</v>
      </c>
      <c r="F9" t="s">
        <v>9</v>
      </c>
      <c r="G9" t="str">
        <f>_xlfn.XLOOKUP(F9, Risk_List!A:A, Risk_List!B:B, "")</f>
        <v/>
      </c>
    </row>
    <row r="10" spans="2:7" x14ac:dyDescent="0.3">
      <c r="B10" s="1">
        <v>46153</v>
      </c>
      <c r="C10" s="2">
        <v>-400</v>
      </c>
      <c r="D10" t="s">
        <v>5</v>
      </c>
      <c r="E10" t="s">
        <v>17</v>
      </c>
      <c r="F10" t="s">
        <v>9</v>
      </c>
      <c r="G10" t="str">
        <f>_xlfn.XLOOKUP(F10, Risk_List!A:A, Risk_List!B:B, "")</f>
        <v/>
      </c>
    </row>
    <row r="11" spans="2:7" x14ac:dyDescent="0.3">
      <c r="B11" s="1">
        <v>46156</v>
      </c>
      <c r="C11" s="2">
        <v>125000</v>
      </c>
      <c r="D11" t="s">
        <v>5</v>
      </c>
      <c r="E11" t="s">
        <v>18</v>
      </c>
      <c r="F11" t="s">
        <v>11</v>
      </c>
      <c r="G11" t="str">
        <f>_xlfn.XLOOKUP(F11, Risk_List!A:A, Risk_List!B:B, "")</f>
        <v>High Risk</v>
      </c>
    </row>
    <row r="12" spans="2:7" x14ac:dyDescent="0.3">
      <c r="B12" s="1">
        <v>46157</v>
      </c>
      <c r="C12" s="2">
        <v>-124000</v>
      </c>
      <c r="D12" t="s">
        <v>5</v>
      </c>
      <c r="E12" t="s">
        <v>19</v>
      </c>
      <c r="F12" t="s">
        <v>10</v>
      </c>
      <c r="G12" t="str">
        <f>_xlfn.XLOOKUP(F12, Risk_List!A:A, Risk_List!B:B, "")</f>
        <v>High Risk</v>
      </c>
    </row>
    <row r="13" spans="2:7" x14ac:dyDescent="0.3">
      <c r="B13" s="1">
        <v>46160</v>
      </c>
      <c r="C13" s="2">
        <v>-65</v>
      </c>
      <c r="D13" t="s">
        <v>4</v>
      </c>
      <c r="E13" t="s">
        <v>20</v>
      </c>
      <c r="F13" t="s">
        <v>9</v>
      </c>
      <c r="G13" t="str">
        <f>_xlfn.XLOOKUP(F13, Risk_List!A:A, Risk_List!B:B, "")</f>
        <v/>
      </c>
    </row>
    <row r="14" spans="2:7" x14ac:dyDescent="0.3">
      <c r="B14" s="1">
        <v>46162</v>
      </c>
      <c r="C14" s="2">
        <v>-85</v>
      </c>
      <c r="D14" t="s">
        <v>7</v>
      </c>
      <c r="E14" t="s">
        <v>21</v>
      </c>
      <c r="F14" t="s">
        <v>9</v>
      </c>
      <c r="G14" t="str">
        <f>_xlfn.XLOOKUP(F14, Risk_List!A:A, Risk_List!B:B, "")</f>
        <v/>
      </c>
    </row>
    <row r="15" spans="2:7" x14ac:dyDescent="0.3">
      <c r="B15" s="1">
        <v>46164</v>
      </c>
      <c r="C15" s="2">
        <v>3500</v>
      </c>
      <c r="D15" t="s">
        <v>5</v>
      </c>
      <c r="E15" t="s">
        <v>22</v>
      </c>
      <c r="F15" t="s">
        <v>9</v>
      </c>
      <c r="G15" t="str">
        <f>_xlfn.XLOOKUP(F15, Risk_List!A:A, Risk_List!B:B, "")</f>
        <v/>
      </c>
    </row>
    <row r="16" spans="2:7" x14ac:dyDescent="0.3">
      <c r="B16" s="1">
        <v>46167</v>
      </c>
      <c r="C16" s="2">
        <v>-25</v>
      </c>
      <c r="D16" t="s">
        <v>4</v>
      </c>
      <c r="E16" t="s">
        <v>23</v>
      </c>
      <c r="F16" t="s">
        <v>9</v>
      </c>
      <c r="G16" t="str">
        <f>_xlfn.XLOOKUP(F16, Risk_List!A:A, Risk_List!B:B, "")</f>
        <v/>
      </c>
    </row>
    <row r="17" spans="2:7" x14ac:dyDescent="0.3">
      <c r="B17" s="1">
        <v>46170</v>
      </c>
      <c r="C17" s="2">
        <v>-1100</v>
      </c>
      <c r="D17" t="s">
        <v>5</v>
      </c>
      <c r="E17" t="s">
        <v>24</v>
      </c>
      <c r="F17" t="s">
        <v>9</v>
      </c>
      <c r="G17" t="str">
        <f>_xlfn.XLOOKUP(F17, Risk_List!A:A, Risk_List!B:B, "")</f>
        <v/>
      </c>
    </row>
  </sheetData>
  <conditionalFormatting sqref="C3:C17">
    <cfRule type="cellIs" dxfId="1" priority="2" operator="between">
      <formula>8000</formula>
      <formula>9999</formula>
    </cfRule>
  </conditionalFormatting>
  <conditionalFormatting sqref="G3:G17">
    <cfRule type="containsText" dxfId="0" priority="1" operator="containsText" text="High Risk">
      <formula>NOT(ISERROR(SEARCH("High Risk",G3)))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3AB6-2026-41DA-9548-9E589BBE9622}">
  <dimension ref="A1:B2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11</v>
      </c>
      <c r="B1" t="s">
        <v>25</v>
      </c>
    </row>
    <row r="2" spans="1:2" x14ac:dyDescent="0.3">
      <c r="A2" t="s">
        <v>10</v>
      </c>
      <c r="B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B7F0-6675-49DC-9DE2-9A912A6745F9}">
  <dimension ref="A3:B17"/>
  <sheetViews>
    <sheetView zoomScale="74" workbookViewId="0">
      <selection activeCell="E1" sqref="E1:J20"/>
    </sheetView>
  </sheetViews>
  <sheetFormatPr defaultRowHeight="14.4" x14ac:dyDescent="0.3"/>
  <cols>
    <col min="1" max="1" width="18.6640625" bestFit="1" customWidth="1"/>
    <col min="2" max="2" width="16.21875" bestFit="1" customWidth="1"/>
    <col min="3" max="4" width="11.77734375" bestFit="1" customWidth="1"/>
    <col min="5" max="13" width="19.44140625" bestFit="1" customWidth="1"/>
    <col min="14" max="14" width="10.5546875" bestFit="1" customWidth="1"/>
  </cols>
  <sheetData>
    <row r="3" spans="1:2" x14ac:dyDescent="0.3">
      <c r="A3" s="3" t="s">
        <v>28</v>
      </c>
      <c r="B3" t="s">
        <v>29</v>
      </c>
    </row>
    <row r="4" spans="1:2" x14ac:dyDescent="0.3">
      <c r="A4" s="4" t="s">
        <v>18</v>
      </c>
      <c r="B4" s="2">
        <v>125000</v>
      </c>
    </row>
    <row r="5" spans="1:2" x14ac:dyDescent="0.3">
      <c r="A5" s="4" t="s">
        <v>15</v>
      </c>
      <c r="B5" s="2">
        <v>-150</v>
      </c>
    </row>
    <row r="6" spans="1:2" x14ac:dyDescent="0.3">
      <c r="A6" s="4" t="s">
        <v>21</v>
      </c>
      <c r="B6" s="2">
        <v>-85</v>
      </c>
    </row>
    <row r="7" spans="1:2" x14ac:dyDescent="0.3">
      <c r="A7" s="4" t="s">
        <v>24</v>
      </c>
      <c r="B7" s="2">
        <v>-1100</v>
      </c>
    </row>
    <row r="8" spans="1:2" x14ac:dyDescent="0.3">
      <c r="A8" s="4" t="s">
        <v>19</v>
      </c>
      <c r="B8" s="2">
        <v>-124000</v>
      </c>
    </row>
    <row r="9" spans="1:2" x14ac:dyDescent="0.3">
      <c r="A9" s="4" t="s">
        <v>13</v>
      </c>
      <c r="B9" s="2">
        <v>1200</v>
      </c>
    </row>
    <row r="10" spans="1:2" x14ac:dyDescent="0.3">
      <c r="A10" s="4" t="s">
        <v>17</v>
      </c>
      <c r="B10" s="2">
        <v>-400</v>
      </c>
    </row>
    <row r="11" spans="1:2" x14ac:dyDescent="0.3">
      <c r="A11" s="4" t="s">
        <v>14</v>
      </c>
      <c r="B11" s="2">
        <v>28200</v>
      </c>
    </row>
    <row r="12" spans="1:2" x14ac:dyDescent="0.3">
      <c r="A12" s="4" t="s">
        <v>16</v>
      </c>
      <c r="B12" s="2">
        <v>-12.5</v>
      </c>
    </row>
    <row r="13" spans="1:2" x14ac:dyDescent="0.3">
      <c r="A13" s="4" t="s">
        <v>20</v>
      </c>
      <c r="B13" s="2">
        <v>-65</v>
      </c>
    </row>
    <row r="14" spans="1:2" x14ac:dyDescent="0.3">
      <c r="A14" s="4" t="s">
        <v>22</v>
      </c>
      <c r="B14" s="2">
        <v>3500</v>
      </c>
    </row>
    <row r="15" spans="1:2" x14ac:dyDescent="0.3">
      <c r="A15" s="4" t="s">
        <v>12</v>
      </c>
      <c r="B15" s="2">
        <v>-45</v>
      </c>
    </row>
    <row r="16" spans="1:2" x14ac:dyDescent="0.3">
      <c r="A16" s="4" t="s">
        <v>23</v>
      </c>
      <c r="B16" s="2">
        <v>-25</v>
      </c>
    </row>
    <row r="17" spans="1:2" x14ac:dyDescent="0.3">
      <c r="A17" s="4" t="s">
        <v>27</v>
      </c>
      <c r="B17" s="2">
        <v>32017.5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Transaction_Monitoring_Data</vt:lpstr>
      <vt:lpstr>Risk_List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Kirk</dc:creator>
  <cp:lastModifiedBy>Jay Kirk</cp:lastModifiedBy>
  <dcterms:created xsi:type="dcterms:W3CDTF">2026-04-18T22:22:22Z</dcterms:created>
  <dcterms:modified xsi:type="dcterms:W3CDTF">2026-06-09T19:54:18Z</dcterms:modified>
</cp:coreProperties>
</file>